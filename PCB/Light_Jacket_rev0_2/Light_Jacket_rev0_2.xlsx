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cuments\KiCad\ESP32 Tutorial S3\Light_Jacket_rev0_2\"/>
    </mc:Choice>
  </mc:AlternateContent>
  <xr:revisionPtr revIDLastSave="0" documentId="13_ncr:9_{1C083A35-D41D-4CC5-A64B-8A36BF1289E7}" xr6:coauthVersionLast="47" xr6:coauthVersionMax="47" xr10:uidLastSave="{00000000-0000-0000-0000-000000000000}"/>
  <bookViews>
    <workbookView xWindow="-2664" yWindow="1680" windowWidth="24324" windowHeight="12156" xr2:uid="{BA41A9D3-21DB-4207-9D73-D2158A250713}"/>
  </bookViews>
  <sheets>
    <sheet name="Light_Jacket_rev0_2" sheetId="1" r:id="rId1"/>
  </sheets>
  <calcPr calcId="0"/>
</workbook>
</file>

<file path=xl/calcChain.xml><?xml version="1.0" encoding="utf-8"?>
<calcChain xmlns="http://schemas.openxmlformats.org/spreadsheetml/2006/main">
  <c r="A25" i="1" l="1" a="1"/>
  <c r="A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<sst xmlns="http://schemas.openxmlformats.org/spreadsheetml/2006/main" count="161" uniqueCount="125">
  <si>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</si>
  <si>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</si>
  <si>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</si>
  <si>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</si>
  <si>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</si>
  <si>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</si>
  <si>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</si>
  <si>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</si>
  <si>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Supplier Part</t>
  </si>
  <si>
    <t>LCSC Part Name</t>
  </si>
  <si>
    <t>BOOT1,RESET1</t>
  </si>
  <si>
    <t>~</t>
  </si>
  <si>
    <t>EasyEDA_Lib:SW-SMD_4P-L6.0-W6.0-P4.50-LS9.0-H7.3</t>
  </si>
  <si>
    <t>https://item.szlcsc.com/datasheet/HX-6x6x7.3-TP%2520FT%2520square%2520button/51650213.html</t>
  </si>
  <si>
    <t>C49234152</t>
  </si>
  <si>
    <t>6*6*7.3mmè´´ç‰‡ æ–¹å¤´ è½»è§¦å¼€å…³</t>
  </si>
  <si>
    <t>C1</t>
  </si>
  <si>
    <t>1uF</t>
  </si>
  <si>
    <t>EasyEDA_Lib:C0603</t>
  </si>
  <si>
    <t>https://item.szlcsc.com/datasheet/CL10A105KB8NNNC/16531.html</t>
  </si>
  <si>
    <t>C15849</t>
  </si>
  <si>
    <t>1uF Â±10% 50V</t>
  </si>
  <si>
    <t>C2,C5,C6,C7</t>
  </si>
  <si>
    <t>100nF</t>
  </si>
  <si>
    <t>https://item.szlcsc.com/datasheet/CC0603KRX7R9BB104/15331.html</t>
  </si>
  <si>
    <t>C14663</t>
  </si>
  <si>
    <t>100nF Â±10% 50V</t>
  </si>
  <si>
    <t>C3</t>
  </si>
  <si>
    <t>22uF</t>
  </si>
  <si>
    <t>EasyEDA_Lib:CAP-SMD_L3.5-W2.8</t>
  </si>
  <si>
    <t>https://item.szlcsc.com/datasheet/CA45-B-10V-22uF-K/151738.html</t>
  </si>
  <si>
    <t>C140412</t>
  </si>
  <si>
    <t>22uF Â±10% 10V</t>
  </si>
  <si>
    <t>C4</t>
  </si>
  <si>
    <t>EasyEDA_Lib:C0805</t>
  </si>
  <si>
    <t>https://item.szlcsc.com/datasheet/CL21A226MAYNNNE/631473.html</t>
  </si>
  <si>
    <t>C602037</t>
  </si>
  <si>
    <t>22uF Â±20% 25V</t>
  </si>
  <si>
    <t>CAP1</t>
  </si>
  <si>
    <t>10uF</t>
  </si>
  <si>
    <t>EasyEDA_Lib:CAP-SMD_L2.0-W1.3-FD</t>
  </si>
  <si>
    <t>https://item.szlcsc.com/datasheet/CA45-P-10V-10uF-K/940979.html</t>
  </si>
  <si>
    <t>C879894</t>
  </si>
  <si>
    <t>10uF Â±10% 10V</t>
  </si>
  <si>
    <t>D1</t>
  </si>
  <si>
    <t>EasyEDA_Lib:SOT-23-6_L2.9-W1.6-P0.95-LS2.8-BL</t>
  </si>
  <si>
    <t>https://item.szlcsc.com/datasheet/USBLC6-2SC6/2973336.html</t>
  </si>
  <si>
    <t>C2827654</t>
  </si>
  <si>
    <t>ESDï¼Œå¯é˜²30kVé™ç”µ</t>
  </si>
  <si>
    <t>F1</t>
  </si>
  <si>
    <t>EasyEDA_Lib:F1812</t>
  </si>
  <si>
    <t>https://item.szlcsc.com/datasheet/BSMD1812-250-8V/1039127.html</t>
  </si>
  <si>
    <t>C960027</t>
  </si>
  <si>
    <t>8V 2.5A 1812è‡ªæ¢å¤</t>
  </si>
  <si>
    <t>Q1,Q2,Q3</t>
  </si>
  <si>
    <t>EasyEDA_Lib:SOT-23-3_L3.0-W1.6-P1.90-LS2.8-BR</t>
  </si>
  <si>
    <t>https://item.szlcsc.com/datasheet/AO3400A/5925703.html</t>
  </si>
  <si>
    <t>C5224194</t>
  </si>
  <si>
    <t>Næ²Ÿé“,ç”µæµ:5.8A,è€åŽ‹:30V</t>
  </si>
  <si>
    <t>R1,R2</t>
  </si>
  <si>
    <t>5.1kÎ©</t>
  </si>
  <si>
    <t>EasyEDA_Lib:R0805</t>
  </si>
  <si>
    <t>https://item.szlcsc.com/datasheet/0805W8F5101T5E/28584.html</t>
  </si>
  <si>
    <t>C27834</t>
  </si>
  <si>
    <t>5.1kÎ© Â±1% 125mW åŽšè†œç”µé˜»</t>
  </si>
  <si>
    <t>R3,R6,R8,R10</t>
  </si>
  <si>
    <t>10kÎ©</t>
  </si>
  <si>
    <t>EasyEDA_Lib:R0603</t>
  </si>
  <si>
    <t>https://item.szlcsc.com/datasheet/FRC0603J103%2520TS/3266960.html</t>
  </si>
  <si>
    <t>C2930027</t>
  </si>
  <si>
    <t>10kÎ© Â±5% 100mW åŽšè†œç”µé˜»</t>
  </si>
  <si>
    <t>R4,R5,R7,R9,R11,R12,R13,R14,R19,R20</t>
  </si>
  <si>
    <t>100Î©</t>
  </si>
  <si>
    <t>https://atta.szlcsc.com/upload/public/pdf/source/20180316/70C0E2BDAE7FCC62C531A5A58D202EE1.pdf</t>
  </si>
  <si>
    <t>C105588</t>
  </si>
  <si>
    <t>åŽšè†œç”µé˜» 100Î© Â±1% 100mW</t>
  </si>
  <si>
    <t>R15,R16,R17,R18</t>
  </si>
  <si>
    <t>33Î©</t>
  </si>
  <si>
    <t>https://item.szlcsc.com/datasheet/RC0603FR-0733RL/109880.html</t>
  </si>
  <si>
    <t>C108661</t>
  </si>
  <si>
    <t>åŽšè†œç”µé˜» 33Î© Â±1% 100mW</t>
  </si>
  <si>
    <t>TP1,TP2,TP3,TP4,TP5,TP6,TP7,TP8,TP9,TP10,TP11,TP12,TP13,TP14,TP15,TP16,TP17,TP18,TP19,TP20,TP21,TP22,TP23,TP24,TP25,TP26,TP27,TP28,TP29,TP30</t>
  </si>
  <si>
    <t>TestPoint</t>
  </si>
  <si>
    <t>CustomLibrary:EasyEDA Pad</t>
  </si>
  <si>
    <t>U1</t>
  </si>
  <si>
    <t>2.4GHz</t>
  </si>
  <si>
    <t>EasyEDA_Lib:WIRELM-SMD_ESP32-S3-WROOM-1</t>
  </si>
  <si>
    <t>https://item.szlcsc.com/datasheet/ESP32-S3-WROOM-1-N16R2/3198303.html</t>
  </si>
  <si>
    <t>C2913205</t>
  </si>
  <si>
    <t>ä¸å¸¦å›ºä»¶ é€šç”¨åž‹Wi-Fi+ä½ŽåŠŸè€—è“ç‰™MCUæ¨¡ç»„</t>
  </si>
  <si>
    <t>U2,U3,U4,U13,U14,U15,U17</t>
  </si>
  <si>
    <t>EasyEDA_Lib:LED0603-FD</t>
  </si>
  <si>
    <t>https://item.szlcsc.com/datasheet/YLED0603G/20555405.html</t>
  </si>
  <si>
    <t>C19273151</t>
  </si>
  <si>
    <t>ç¿ ç»¿è‰² ç‹¬ç«‹äºŒæžç®¡</t>
  </si>
  <si>
    <t>U5,U12</t>
  </si>
  <si>
    <t>EasyEDA_Lib:MIC-SMD_6P-L4.0-W2.0_LMD4020T261-OC3</t>
  </si>
  <si>
    <t>https://item.szlcsc.com/datasheet/MSM261DGT003/50474176.html</t>
  </si>
  <si>
    <t>C48227730</t>
  </si>
  <si>
    <t>1.8V 26dB</t>
  </si>
  <si>
    <t>U6</t>
  </si>
  <si>
    <t>EasyEDA_Lib:SOT-223-3_L6.5-W3.4-P2.30-LS7.0-BR</t>
  </si>
  <si>
    <t>https://item.szlcsc.com/datasheet/AMS1117-3.3/19384486.html</t>
  </si>
  <si>
    <t>C18212698</t>
  </si>
  <si>
    <t>1Aä½ŽåŽ‹å·®çº¿æ€§ç¨³åŽ‹å™¨</t>
  </si>
  <si>
    <t>U7</t>
  </si>
  <si>
    <t>EasyEDA_Lib:TSSOP-20_L6.5-W4.4-P0.65-LS6.4-BL</t>
  </si>
  <si>
    <t>https://item.szlcsc.com/datasheet/74HCT245PW/54938180.html</t>
  </si>
  <si>
    <t>C52140501</t>
  </si>
  <si>
    <t>74HCT245PW</t>
  </si>
  <si>
    <t>U8,U9,U10,U11,U16</t>
  </si>
  <si>
    <t>249Î©</t>
  </si>
  <si>
    <t>C2933176</t>
  </si>
  <si>
    <t>249Î© Â±1% 100mW åŽšè†œç”µé˜»</t>
  </si>
  <si>
    <t>USB1,USB4,USB5</t>
  </si>
  <si>
    <t>EasyEDA_Lib:USB-C_SMD-TYPE-C-31-M-12</t>
  </si>
  <si>
    <t>https://item.szlcsc.com/datasheet/USB-TYPE-C-018/3252507.html</t>
  </si>
  <si>
    <t>C2927038</t>
  </si>
  <si>
    <t>Type-C æ¯ å§è´´</t>
  </si>
  <si>
    <t>USB2,USB3</t>
  </si>
  <si>
    <t>EasyEDA_Lib:USB-A-TH_AF-SS-JB17.6</t>
  </si>
  <si>
    <t>https://item.szlcsc.com/datasheet/AF%2520SS-JB17.6/458828.html</t>
  </si>
  <si>
    <t>C456021</t>
  </si>
  <si>
    <t>Type-Aå¼¯æ’åŒå±‚æ¯åº§</t>
  </si>
  <si>
    <t>C17206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</si>
</sst>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A1CE-90D6-4AC5-B419-CB5006559A5E}">
  <dimension ref="A1:J43"/>
  <sheetViews>
    <sheetView tabSelected="1" workbookViewId="0">
      <selection activeCell="H20" sqref="H20"/>
    </sheetView>
  </sheetViews>
  <sheetFormatPr defaultRowHeight="14.4" x14ac:dyDescent="0.3"/>
  <cols>
    <col min="8" max="8" width="59.44140625" customWidth="1"/>
    <col min="9" max="9" width="34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</v>
      </c>
      <c r="C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>
        <v>1</v>
      </c>
      <c r="C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 t="s">
        <v>22</v>
      </c>
      <c r="B4">
        <v>4</v>
      </c>
      <c r="C4" t="s">
        <v>23</v>
      </c>
      <c r="G4" t="s">
        <v>18</v>
      </c>
      <c r="H4" t="s">
        <v>24</v>
      </c>
      <c r="I4" t="s">
        <v>25</v>
      </c>
      <c r="J4" t="s">
        <v>26</v>
      </c>
    </row>
    <row r="5" spans="1:10" x14ac:dyDescent="0.3">
      <c r="A5" t="s">
        <v>27</v>
      </c>
      <c r="B5">
        <v>1</v>
      </c>
      <c r="C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0" x14ac:dyDescent="0.3">
      <c r="A6" t="s">
        <v>33</v>
      </c>
      <c r="B6">
        <v>1</v>
      </c>
      <c r="C6" t="s">
        <v>28</v>
      </c>
      <c r="G6" t="s">
        <v>34</v>
      </c>
      <c r="H6" t="s">
        <v>35</v>
      </c>
      <c r="I6" t="s">
        <v>36</v>
      </c>
      <c r="J6" t="s">
        <v>37</v>
      </c>
    </row>
    <row r="7" spans="1:10" x14ac:dyDescent="0.3">
      <c r="A7" t="s">
        <v>38</v>
      </c>
      <c r="B7">
        <v>1</v>
      </c>
      <c r="C7" t="s">
        <v>39</v>
      </c>
      <c r="G7" t="s">
        <v>40</v>
      </c>
      <c r="H7" t="s">
        <v>41</v>
      </c>
      <c r="I7" t="s">
        <v>42</v>
      </c>
      <c r="J7" t="s">
        <v>43</v>
      </c>
    </row>
    <row r="8" spans="1:10" x14ac:dyDescent="0.3">
      <c r="A8" t="s">
        <v>44</v>
      </c>
      <c r="B8">
        <v>1</v>
      </c>
      <c r="C8" t="s">
        <v>11</v>
      </c>
      <c r="G8" t="s">
        <v>45</v>
      </c>
      <c r="H8" t="s">
        <v>46</v>
      </c>
      <c r="I8" t="s">
        <v>47</v>
      </c>
      <c r="J8" t="s">
        <v>48</v>
      </c>
    </row>
    <row r="9" spans="1:10" x14ac:dyDescent="0.3">
      <c r="A9" t="s">
        <v>49</v>
      </c>
      <c r="B9">
        <v>1</v>
      </c>
      <c r="C9" t="s">
        <v>11</v>
      </c>
      <c r="G9" t="s">
        <v>50</v>
      </c>
      <c r="H9" t="s">
        <v>51</v>
      </c>
      <c r="I9" t="s">
        <v>52</v>
      </c>
      <c r="J9" t="s">
        <v>53</v>
      </c>
    </row>
    <row r="10" spans="1:10" x14ac:dyDescent="0.3">
      <c r="A10" t="s">
        <v>54</v>
      </c>
      <c r="B10">
        <v>3</v>
      </c>
      <c r="C10" t="s">
        <v>11</v>
      </c>
      <c r="G10" t="s">
        <v>55</v>
      </c>
      <c r="H10" t="s">
        <v>56</v>
      </c>
      <c r="I10" t="s">
        <v>57</v>
      </c>
      <c r="J10" t="s">
        <v>58</v>
      </c>
    </row>
    <row r="11" spans="1:10" x14ac:dyDescent="0.3">
      <c r="A11" t="s">
        <v>59</v>
      </c>
      <c r="B11">
        <v>2</v>
      </c>
      <c r="C11" t="s">
        <v>60</v>
      </c>
      <c r="G11" t="s">
        <v>61</v>
      </c>
      <c r="H11" t="s">
        <v>62</v>
      </c>
      <c r="I11" t="s">
        <v>63</v>
      </c>
      <c r="J11" t="s">
        <v>64</v>
      </c>
    </row>
    <row r="12" spans="1:10" x14ac:dyDescent="0.3">
      <c r="A12" t="s">
        <v>65</v>
      </c>
      <c r="B12">
        <v>4</v>
      </c>
      <c r="C12" t="s">
        <v>66</v>
      </c>
      <c r="G12" t="s">
        <v>67</v>
      </c>
      <c r="H12" t="s">
        <v>68</v>
      </c>
      <c r="I12" t="s">
        <v>69</v>
      </c>
      <c r="J12" t="s">
        <v>70</v>
      </c>
    </row>
    <row r="13" spans="1:10" x14ac:dyDescent="0.3">
      <c r="A13" t="s">
        <v>71</v>
      </c>
      <c r="B13">
        <v>10</v>
      </c>
      <c r="C13" t="s">
        <v>72</v>
      </c>
      <c r="G13" t="s">
        <v>67</v>
      </c>
      <c r="H13" t="s">
        <v>73</v>
      </c>
      <c r="I13" t="s">
        <v>74</v>
      </c>
      <c r="J13" t="s">
        <v>75</v>
      </c>
    </row>
    <row r="14" spans="1:10" x14ac:dyDescent="0.3">
      <c r="A14" t="s">
        <v>76</v>
      </c>
      <c r="B14">
        <v>4</v>
      </c>
      <c r="C14" t="s">
        <v>77</v>
      </c>
      <c r="G14" t="s">
        <v>67</v>
      </c>
      <c r="H14" t="s">
        <v>78</v>
      </c>
      <c r="I14" t="s">
        <v>79</v>
      </c>
      <c r="J14" t="s">
        <v>80</v>
      </c>
    </row>
    <row r="15" spans="1:10" x14ac:dyDescent="0.3">
      <c r="A15" t="s">
        <v>81</v>
      </c>
      <c r="B15">
        <v>30</v>
      </c>
      <c r="C15" t="s">
        <v>82</v>
      </c>
      <c r="G15" t="s">
        <v>83</v>
      </c>
      <c r="H15" t="s">
        <v>11</v>
      </c>
    </row>
    <row r="16" spans="1:10" x14ac:dyDescent="0.3">
      <c r="A16" t="s">
        <v>84</v>
      </c>
      <c r="B16">
        <v>1</v>
      </c>
      <c r="C16" t="s">
        <v>85</v>
      </c>
      <c r="G16" t="s">
        <v>86</v>
      </c>
      <c r="H16" t="s">
        <v>87</v>
      </c>
      <c r="I16" t="s">
        <v>88</v>
      </c>
      <c r="J16" t="s">
        <v>89</v>
      </c>
    </row>
    <row r="17" spans="1:10" x14ac:dyDescent="0.3">
      <c r="A17" t="s">
        <v>90</v>
      </c>
      <c r="B17">
        <v>7</v>
      </c>
      <c r="C17" t="s">
        <v>11</v>
      </c>
      <c r="G17" t="s">
        <v>91</v>
      </c>
      <c r="H17" t="s">
        <v>92</v>
      </c>
      <c r="I17" t="s">
        <v>93</v>
      </c>
      <c r="J17" t="s">
        <v>94</v>
      </c>
    </row>
    <row r="18" spans="1:10" x14ac:dyDescent="0.3">
      <c r="A18" t="s">
        <v>95</v>
      </c>
      <c r="B18">
        <v>2</v>
      </c>
      <c r="C18" t="s">
        <v>11</v>
      </c>
      <c r="G18" t="s">
        <v>96</v>
      </c>
      <c r="H18" t="s">
        <v>97</v>
      </c>
      <c r="I18" t="s">
        <v>98</v>
      </c>
      <c r="J18" t="s">
        <v>99</v>
      </c>
    </row>
    <row r="19" spans="1:10" x14ac:dyDescent="0.3">
      <c r="A19" t="s">
        <v>100</v>
      </c>
      <c r="B19">
        <v>1</v>
      </c>
      <c r="C19" t="s">
        <v>11</v>
      </c>
      <c r="G19" t="s">
        <v>101</v>
      </c>
      <c r="H19" t="s">
        <v>102</v>
      </c>
      <c r="I19" t="s">
        <v>103</v>
      </c>
      <c r="J19" t="s">
        <v>104</v>
      </c>
    </row>
    <row r="20" spans="1:10" x14ac:dyDescent="0.3">
      <c r="A20" t="s">
        <v>105</v>
      </c>
      <c r="B20">
        <v>1</v>
      </c>
      <c r="C20" t="s">
        <v>11</v>
      </c>
      <c r="G20" t="s">
        <v>106</v>
      </c>
      <c r="H20" t="s">
        <v>107</v>
      </c>
      <c r="I20" t="s">
        <v>108</v>
      </c>
      <c r="J20" t="s">
        <v>109</v>
      </c>
    </row>
    <row r="21" spans="1:10" x14ac:dyDescent="0.3">
      <c r="A21" t="s">
        <v>110</v>
      </c>
      <c r="B21">
        <v>5</v>
      </c>
      <c r="C21" t="s">
        <v>111</v>
      </c>
      <c r="G21" t="s">
        <v>67</v>
      </c>
      <c r="I21" t="s">
        <v>112</v>
      </c>
      <c r="J21" t="s">
        <v>113</v>
      </c>
    </row>
    <row r="22" spans="1:10" x14ac:dyDescent="0.3">
      <c r="A22" t="s">
        <v>114</v>
      </c>
      <c r="B22">
        <v>3</v>
      </c>
      <c r="C22" t="s">
        <v>11</v>
      </c>
      <c r="G22" t="s">
        <v>115</v>
      </c>
      <c r="H22" t="s">
        <v>116</v>
      </c>
      <c r="I22" t="s">
        <v>117</v>
      </c>
      <c r="J22" t="s">
        <v>118</v>
      </c>
    </row>
    <row r="23" spans="1:10" x14ac:dyDescent="0.3">
      <c r="A23" t="s">
        <v>119</v>
      </c>
      <c r="B23">
        <v>2</v>
      </c>
      <c r="C23" t="s">
        <v>11</v>
      </c>
      <c r="G23" t="s">
        <v>120</v>
      </c>
      <c r="H23" t="s">
        <v>121</v>
      </c>
      <c r="I23" t="s">
        <v>122</v>
      </c>
      <c r="J23" t="s">
        <v>123</v>
      </c>
    </row>
    <row r="25" spans="1:10" x14ac:dyDescent="0.3">
      <c r="A25" t="str" cm="1">
        <f t="array" ref="A25:A28">_xlfn._xlws.FILTER(I2:I23, ISNA(MATCH(I2:I23, I25:I43, 0)))</f>
        <v>C108661</v>
      </c>
      <c r="B25" t="s">
        <v>79</v>
      </c>
      <c r="I25" t="s">
        <v>74</v>
      </c>
    </row>
    <row r="26" spans="1:10" x14ac:dyDescent="0.3">
      <c r="A26">
        <v>0</v>
      </c>
      <c r="B26">
        <v>0</v>
      </c>
      <c r="I26" t="s">
        <v>31</v>
      </c>
    </row>
    <row r="27" spans="1:10" x14ac:dyDescent="0.3">
      <c r="A27" t="str">
        <v>C52140501</v>
      </c>
      <c r="B27" t="s">
        <v>108</v>
      </c>
      <c r="I27" t="s">
        <v>25</v>
      </c>
    </row>
    <row r="28" spans="1:10" x14ac:dyDescent="0.3">
      <c r="A28" t="str">
        <v>C2933176</v>
      </c>
      <c r="B28" t="s">
        <v>112</v>
      </c>
      <c r="I28" t="s">
        <v>20</v>
      </c>
    </row>
    <row r="29" spans="1:10" x14ac:dyDescent="0.3">
      <c r="I29" t="s">
        <v>124</v>
      </c>
    </row>
    <row r="30" spans="1:10" x14ac:dyDescent="0.3">
      <c r="I30" t="s">
        <v>103</v>
      </c>
    </row>
    <row r="31" spans="1:10" x14ac:dyDescent="0.3">
      <c r="I31" t="s">
        <v>93</v>
      </c>
    </row>
    <row r="32" spans="1:10" x14ac:dyDescent="0.3">
      <c r="I32" t="s">
        <v>63</v>
      </c>
    </row>
    <row r="33" spans="9:9" x14ac:dyDescent="0.3">
      <c r="I33" t="s">
        <v>47</v>
      </c>
    </row>
    <row r="34" spans="9:9" x14ac:dyDescent="0.3">
      <c r="I34" t="s">
        <v>88</v>
      </c>
    </row>
    <row r="35" spans="9:9" x14ac:dyDescent="0.3">
      <c r="I35" t="s">
        <v>117</v>
      </c>
    </row>
    <row r="36" spans="9:9" x14ac:dyDescent="0.3">
      <c r="I36" t="s">
        <v>69</v>
      </c>
    </row>
    <row r="37" spans="9:9" x14ac:dyDescent="0.3">
      <c r="I37" t="s">
        <v>122</v>
      </c>
    </row>
    <row r="38" spans="9:9" x14ac:dyDescent="0.3">
      <c r="I38" t="s">
        <v>98</v>
      </c>
    </row>
    <row r="39" spans="9:9" x14ac:dyDescent="0.3">
      <c r="I39" t="s">
        <v>14</v>
      </c>
    </row>
    <row r="40" spans="9:9" x14ac:dyDescent="0.3">
      <c r="I40" t="s">
        <v>57</v>
      </c>
    </row>
    <row r="41" spans="9:9" x14ac:dyDescent="0.3">
      <c r="I41" t="s">
        <v>36</v>
      </c>
    </row>
    <row r="42" spans="9:9" x14ac:dyDescent="0.3">
      <c r="I42" t="s">
        <v>42</v>
      </c>
    </row>
    <row r="43" spans="9:9" x14ac:dyDescent="0.3">
      <c r="I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Light_Jacket_rev0_2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Maxwell</dc:creator>
  <cp:lastModifiedBy>Logan Maxwell</cp:lastModifiedBy>
  <dcterms:created xsi:type="dcterms:W3CDTF">2026-04-18T07:24:27Z</dcterms:created>
  <dcterms:modified xsi:type="dcterms:W3CDTF">2026-04-19T23:37:08Z</dcterms:modified>
</cp:coreProperties>
</file>